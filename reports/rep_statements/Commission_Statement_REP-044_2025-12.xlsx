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YTD History" sheetId="2" state="visible" r:id="rId2"/>
    <sheet xmlns:r="http://schemas.openxmlformats.org/officeDocument/2006/relationships" name="Transactions" sheetId="3" state="visible" r:id="rId3"/>
  </sheets>
  <definedNames>
    <definedName name="_xlnm._FilterDatabase" localSheetId="1" hidden="1">'YTD History'!$A$1:$F$13</definedName>
    <definedName name="_xlnm._FilterDatabase" localSheetId="2" hidden="1">'Transactions'!$A$1:$J$39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0.0%"/>
    <numFmt numFmtId="166" formatCode="#,##0;[Red]-#,##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80808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Commission Statement - December 2025</t>
        </is>
      </c>
    </row>
    <row r="2">
      <c r="A2" t="inlineStr">
        <is>
          <t>Maha Lotfy (REP-044) | KSA SME | Plan CP2025</t>
        </is>
      </c>
    </row>
    <row r="3">
      <c r="A3" s="2" t="inlineStr">
        <is>
          <t>Synthetic portfolio data. Figures recalculate with Excel formulas; row 18 checks them against the pipeline.</t>
        </is>
      </c>
    </row>
    <row r="5">
      <c r="A5" s="3" t="inlineStr">
        <is>
          <t>Monthly target (USD)</t>
        </is>
      </c>
      <c r="B5" s="4" t="n">
        <v>79289.28</v>
      </c>
    </row>
    <row r="6">
      <c r="A6" s="3" t="inlineStr">
        <is>
          <t>Net revenue (USD)</t>
        </is>
      </c>
      <c r="B6" s="4" t="n">
        <v>147229.29</v>
      </c>
    </row>
    <row r="7">
      <c r="A7" s="3" t="inlineStr">
        <is>
          <t>Achievement</t>
        </is>
      </c>
      <c r="B7" s="5">
        <f>B6/B5</f>
        <v/>
      </c>
    </row>
    <row r="8">
      <c r="A8" s="3" t="inlineStr">
        <is>
          <t>Tier</t>
        </is>
      </c>
      <c r="B8" s="3" t="inlineStr">
        <is>
          <t>T3 Accelerator</t>
        </is>
      </c>
    </row>
    <row r="9">
      <c r="A9" s="3" t="inlineStr">
        <is>
          <t>Tier rate</t>
        </is>
      </c>
      <c r="B9" s="6" t="n">
        <v>0.015</v>
      </c>
    </row>
    <row r="10">
      <c r="A10" s="3" t="inlineStr">
        <is>
          <t>Weighted invoiced revenue (strategic x1.25)</t>
        </is>
      </c>
      <c r="B10" s="4" t="n">
        <v>153047.79</v>
      </c>
    </row>
    <row r="11">
      <c r="A11" s="3" t="inlineStr">
        <is>
          <t>Clawback: credit notes within 90 days (weighted)</t>
        </is>
      </c>
      <c r="B11" s="4" t="n">
        <v>0</v>
      </c>
    </row>
    <row r="12">
      <c r="A12" s="3" t="inlineStr">
        <is>
          <t>Weighted commissionable base</t>
        </is>
      </c>
      <c r="B12" s="4">
        <f>B10+B11</f>
        <v/>
      </c>
    </row>
    <row r="13">
      <c r="A13" s="3" t="inlineStr">
        <is>
          <t>Cap (150% x target)</t>
        </is>
      </c>
      <c r="B13" s="4">
        <f>1.5*B5</f>
        <v/>
      </c>
    </row>
    <row r="14">
      <c r="A14" s="3" t="inlineStr">
        <is>
          <t>Commissionable base after cap</t>
        </is>
      </c>
      <c r="B14" s="4">
        <f>MIN(MAX(B12,0),B13)</f>
        <v/>
      </c>
    </row>
    <row r="15">
      <c r="A15" s="7" t="inlineStr">
        <is>
          <t>Commission payable (USD)</t>
        </is>
      </c>
      <c r="B15" s="8">
        <f>ROUND(B14*B9,2)</f>
        <v/>
      </c>
    </row>
    <row r="16">
      <c r="A16" s="3" t="inlineStr">
        <is>
          <t>YTD commission (USD)</t>
        </is>
      </c>
      <c r="B16" s="4" t="n">
        <v>15951.9714</v>
      </c>
    </row>
    <row r="17">
      <c r="A17" s="3" t="inlineStr">
        <is>
          <t>Check vs pipeline (should be 0.00)</t>
        </is>
      </c>
      <c r="B17" s="4">
        <f>ROUND(B15-1784.01,2)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16" customWidth="1" min="5" max="5"/>
    <col width="20" customWidth="1" min="6" max="6"/>
  </cols>
  <sheetData>
    <row r="1" ht="30" customHeight="1">
      <c r="A1" s="9" t="inlineStr">
        <is>
          <t>Month</t>
        </is>
      </c>
      <c r="B1" s="9" t="inlineStr">
        <is>
          <t>Target</t>
        </is>
      </c>
      <c r="C1" s="9" t="inlineStr">
        <is>
          <t>Net revenue</t>
        </is>
      </c>
      <c r="D1" s="9" t="inlineStr">
        <is>
          <t>Achievement</t>
        </is>
      </c>
      <c r="E1" s="9" t="inlineStr">
        <is>
          <t>Tier</t>
        </is>
      </c>
      <c r="F1" s="9" t="inlineStr">
        <is>
          <t>Commission</t>
        </is>
      </c>
    </row>
    <row r="2">
      <c r="A2" t="inlineStr">
        <is>
          <t>202501</t>
        </is>
      </c>
      <c r="B2" s="10" t="n">
        <v>61205.76</v>
      </c>
      <c r="C2" s="10" t="n">
        <v>51231.62</v>
      </c>
      <c r="D2" s="11" t="n">
        <v>0.8370391936968022</v>
      </c>
      <c r="E2" t="inlineStr">
        <is>
          <t>T0 Below Gate</t>
        </is>
      </c>
      <c r="F2" s="12" t="n">
        <v>0</v>
      </c>
    </row>
    <row r="3">
      <c r="A3" t="inlineStr">
        <is>
          <t>202502</t>
        </is>
      </c>
      <c r="B3" s="10" t="n">
        <v>66074.39999999999</v>
      </c>
      <c r="C3" s="10" t="n">
        <v>102049.95</v>
      </c>
      <c r="D3" s="11" t="n">
        <v>1.544470324361629</v>
      </c>
      <c r="E3" t="inlineStr">
        <is>
          <t>T3 Accelerator</t>
        </is>
      </c>
      <c r="F3" s="12" t="n">
        <v>1486.674</v>
      </c>
    </row>
    <row r="4">
      <c r="A4" t="inlineStr">
        <is>
          <t>202503</t>
        </is>
      </c>
      <c r="B4" s="10" t="n">
        <v>69552</v>
      </c>
      <c r="C4" s="10" t="n">
        <v>106096.2</v>
      </c>
      <c r="D4" s="11" t="n">
        <v>1.52542270531401</v>
      </c>
      <c r="E4" t="inlineStr">
        <is>
          <t>T3 Accelerator</t>
        </is>
      </c>
      <c r="F4" s="12" t="n">
        <v>1564.92</v>
      </c>
    </row>
    <row r="5">
      <c r="A5" t="inlineStr">
        <is>
          <t>202504</t>
        </is>
      </c>
      <c r="B5" s="10" t="n">
        <v>69552</v>
      </c>
      <c r="C5" s="10" t="n">
        <v>110089.74</v>
      </c>
      <c r="D5" s="11" t="n">
        <v>1.582840752242926</v>
      </c>
      <c r="E5" t="inlineStr">
        <is>
          <t>T3 Accelerator</t>
        </is>
      </c>
      <c r="F5" s="12" t="n">
        <v>1564.92</v>
      </c>
    </row>
    <row r="6">
      <c r="A6" t="inlineStr">
        <is>
          <t>202505</t>
        </is>
      </c>
      <c r="B6" s="10" t="n">
        <v>69552</v>
      </c>
      <c r="C6" s="10" t="n">
        <v>142750.71</v>
      </c>
      <c r="D6" s="11" t="n">
        <v>2.052431418219462</v>
      </c>
      <c r="E6" t="inlineStr">
        <is>
          <t>T3 Accelerator</t>
        </is>
      </c>
      <c r="F6" s="12" t="n">
        <v>1564.92</v>
      </c>
    </row>
    <row r="7">
      <c r="A7" t="inlineStr">
        <is>
          <t>202506</t>
        </is>
      </c>
      <c r="B7" s="10" t="n">
        <v>72334.08</v>
      </c>
      <c r="C7" s="10" t="n">
        <v>191023.77</v>
      </c>
      <c r="D7" s="11" t="n">
        <v>2.6408543524712</v>
      </c>
      <c r="E7" t="inlineStr">
        <is>
          <t>T3 Accelerator</t>
        </is>
      </c>
      <c r="F7" s="12" t="n">
        <v>1627.5168</v>
      </c>
    </row>
    <row r="8">
      <c r="A8" t="inlineStr">
        <is>
          <t>202507</t>
        </is>
      </c>
      <c r="B8" s="10" t="n">
        <v>66074.39999999999</v>
      </c>
      <c r="C8" s="10" t="n">
        <v>92988.16</v>
      </c>
      <c r="D8" s="11" t="n">
        <v>1.407325075974962</v>
      </c>
      <c r="E8" t="inlineStr">
        <is>
          <t>T3 Accelerator</t>
        </is>
      </c>
      <c r="F8" s="12" t="n">
        <v>1476.4614</v>
      </c>
    </row>
    <row r="9">
      <c r="A9" t="inlineStr">
        <is>
          <t>202508</t>
        </is>
      </c>
      <c r="B9" s="10" t="n">
        <v>63987.84</v>
      </c>
      <c r="C9" s="10" t="n">
        <v>33607.33</v>
      </c>
      <c r="D9" s="11" t="n">
        <v>0.5252143219711746</v>
      </c>
      <c r="E9" t="inlineStr">
        <is>
          <t>T0 Below Gate</t>
        </is>
      </c>
      <c r="F9" s="12" t="n">
        <v>0</v>
      </c>
    </row>
    <row r="10">
      <c r="A10" t="inlineStr">
        <is>
          <t>202509</t>
        </is>
      </c>
      <c r="B10" s="10" t="n">
        <v>69552</v>
      </c>
      <c r="C10" s="10" t="n">
        <v>149037.92</v>
      </c>
      <c r="D10" s="11" t="n">
        <v>2.142827237175064</v>
      </c>
      <c r="E10" t="inlineStr">
        <is>
          <t>T3 Accelerator</t>
        </is>
      </c>
      <c r="F10" s="12" t="n">
        <v>1564.92</v>
      </c>
    </row>
    <row r="11">
      <c r="A11" t="inlineStr">
        <is>
          <t>202510</t>
        </is>
      </c>
      <c r="B11" s="10" t="n">
        <v>72334.08</v>
      </c>
      <c r="C11" s="10" t="n">
        <v>157978.12</v>
      </c>
      <c r="D11" s="11" t="n">
        <v>2.184006764169808</v>
      </c>
      <c r="E11" t="inlineStr">
        <is>
          <t>T3 Accelerator</t>
        </is>
      </c>
      <c r="F11" s="12" t="n">
        <v>1627.5168</v>
      </c>
    </row>
    <row r="12">
      <c r="A12" t="inlineStr">
        <is>
          <t>202511</t>
        </is>
      </c>
      <c r="B12" s="10" t="n">
        <v>75116.16</v>
      </c>
      <c r="C12" s="10" t="n">
        <v>126307.51</v>
      </c>
      <c r="D12" s="11" t="n">
        <v>1.681495832587821</v>
      </c>
      <c r="E12" t="inlineStr">
        <is>
          <t>T3 Accelerator</t>
        </is>
      </c>
      <c r="F12" s="12" t="n">
        <v>1690.1136</v>
      </c>
    </row>
    <row r="13">
      <c r="A13" t="inlineStr">
        <is>
          <t>202512</t>
        </is>
      </c>
      <c r="B13" s="10" t="n">
        <v>79289.28</v>
      </c>
      <c r="C13" s="10" t="n">
        <v>147229.29</v>
      </c>
      <c r="D13" s="11" t="n">
        <v>1.856862491373361</v>
      </c>
      <c r="E13" t="inlineStr">
        <is>
          <t>T3 Accelerator</t>
        </is>
      </c>
      <c r="F13" s="12" t="n">
        <v>1784.0088</v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39" customWidth="1" min="4" max="4"/>
    <col width="39" customWidth="1" min="5" max="5"/>
    <col width="10" customWidth="1" min="6" max="6"/>
    <col width="14" customWidth="1" min="7" max="7"/>
    <col width="16" customWidth="1" min="8" max="8"/>
    <col width="19" customWidth="1" min="9" max="9"/>
    <col width="21" customWidth="1" min="10" max="10"/>
  </cols>
  <sheetData>
    <row r="1" ht="30" customHeight="1">
      <c r="A1" s="9" t="inlineStr">
        <is>
          <t>document_no</t>
        </is>
      </c>
      <c r="B1" s="9" t="inlineStr">
        <is>
          <t>doc_type</t>
        </is>
      </c>
      <c r="C1" s="9" t="inlineStr">
        <is>
          <t>date_key</t>
        </is>
      </c>
      <c r="D1" s="9" t="inlineStr">
        <is>
          <t>customer</t>
        </is>
      </c>
      <c r="E1" s="9" t="inlineStr">
        <is>
          <t>product</t>
        </is>
      </c>
      <c r="F1" s="9" t="inlineStr">
        <is>
          <t>quantity</t>
        </is>
      </c>
      <c r="G1" s="9" t="inlineStr">
        <is>
          <t>discount_pct</t>
        </is>
      </c>
      <c r="H1" s="9" t="inlineStr">
        <is>
          <t>net_amount_usd</t>
        </is>
      </c>
      <c r="I1" s="9" t="inlineStr">
        <is>
          <t>commission_weight</t>
        </is>
      </c>
      <c r="J1" s="9" t="inlineStr">
        <is>
          <t>days_since_original</t>
        </is>
      </c>
    </row>
    <row r="2">
      <c r="A2" t="inlineStr">
        <is>
          <t>INV-2025-014520</t>
        </is>
      </c>
      <c r="B2" t="inlineStr">
        <is>
          <t>INV</t>
        </is>
      </c>
      <c r="C2" t="n">
        <v>20251204</v>
      </c>
      <c r="D2" t="inlineStr">
        <is>
          <t>Hejaz Hospitality Trading</t>
        </is>
      </c>
      <c r="E2" t="inlineStr">
        <is>
          <t>Colocation Rack (annual)</t>
        </is>
      </c>
      <c r="F2" t="n">
        <v>1</v>
      </c>
      <c r="G2" s="11" t="n">
        <v>0.039</v>
      </c>
      <c r="H2" s="12" t="n">
        <v>9225.6</v>
      </c>
      <c r="I2" t="n">
        <v>1.25</v>
      </c>
    </row>
    <row r="3">
      <c r="A3" t="inlineStr">
        <is>
          <t>INV-2025-014522</t>
        </is>
      </c>
      <c r="B3" t="inlineStr">
        <is>
          <t>INV</t>
        </is>
      </c>
      <c r="C3" t="n">
        <v>20251204</v>
      </c>
      <c r="D3" t="inlineStr">
        <is>
          <t>Oasis Logistics Services</t>
        </is>
      </c>
      <c r="E3" t="inlineStr">
        <is>
          <t>Productivity Suite (10 users, annual)</t>
        </is>
      </c>
      <c r="F3" t="n">
        <v>2</v>
      </c>
      <c r="G3" s="11" t="n">
        <v>0.0298</v>
      </c>
      <c r="H3" s="12" t="n">
        <v>2910.6</v>
      </c>
      <c r="I3" t="n">
        <v>1</v>
      </c>
    </row>
    <row r="4">
      <c r="A4" t="inlineStr">
        <is>
          <t>INV-2025-014522</t>
        </is>
      </c>
      <c r="B4" t="inlineStr">
        <is>
          <t>INV</t>
        </is>
      </c>
      <c r="C4" t="n">
        <v>20251204</v>
      </c>
      <c r="D4" t="inlineStr">
        <is>
          <t>Oasis Logistics Services</t>
        </is>
      </c>
      <c r="E4" t="inlineStr">
        <is>
          <t>Endpoint Protection (50 seats)</t>
        </is>
      </c>
      <c r="F4" t="n">
        <v>2</v>
      </c>
      <c r="G4" s="11" t="n">
        <v>0.0697</v>
      </c>
      <c r="H4" s="12" t="n">
        <v>5581.8</v>
      </c>
      <c r="I4" t="n">
        <v>1.25</v>
      </c>
    </row>
    <row r="5">
      <c r="A5" t="inlineStr">
        <is>
          <t>INV-2025-014526</t>
        </is>
      </c>
      <c r="B5" t="inlineStr">
        <is>
          <t>INV</t>
        </is>
      </c>
      <c r="C5" t="n">
        <v>20251204</v>
      </c>
      <c r="D5" t="inlineStr">
        <is>
          <t>Falcon Real Estate Co.</t>
        </is>
      </c>
      <c r="E5" t="inlineStr">
        <is>
          <t>Business Fiber 100 Mbps (annual)</t>
        </is>
      </c>
      <c r="F5" t="n">
        <v>3</v>
      </c>
      <c r="G5" s="11" t="n">
        <v>0.101</v>
      </c>
      <c r="H5" s="12" t="n">
        <v>6472.8</v>
      </c>
      <c r="I5" t="n">
        <v>1</v>
      </c>
    </row>
    <row r="6">
      <c r="A6" t="inlineStr">
        <is>
          <t>INV-2025-014526</t>
        </is>
      </c>
      <c r="B6" t="inlineStr">
        <is>
          <t>INV</t>
        </is>
      </c>
      <c r="C6" t="n">
        <v>20251204</v>
      </c>
      <c r="D6" t="inlineStr">
        <is>
          <t>Falcon Real Estate Co.</t>
        </is>
      </c>
      <c r="E6" t="inlineStr">
        <is>
          <t>Wi-Fi 6 Access Point</t>
        </is>
      </c>
      <c r="F6" t="n">
        <v>2</v>
      </c>
      <c r="G6" s="11" t="n">
        <v>0.0274</v>
      </c>
      <c r="H6" s="12" t="n">
        <v>875.34</v>
      </c>
      <c r="I6" t="n">
        <v>1</v>
      </c>
    </row>
    <row r="7">
      <c r="A7" t="inlineStr">
        <is>
          <t>INV-2025-014510</t>
        </is>
      </c>
      <c r="B7" t="inlineStr">
        <is>
          <t>INV</t>
        </is>
      </c>
      <c r="C7" t="n">
        <v>20251205</v>
      </c>
      <c r="D7" t="inlineStr">
        <is>
          <t>Oasis Real Estate Solutions</t>
        </is>
      </c>
      <c r="E7" t="inlineStr">
        <is>
          <t>Enterprise Router</t>
        </is>
      </c>
      <c r="F7" t="n">
        <v>3</v>
      </c>
      <c r="G7" s="11" t="n">
        <v>0.098</v>
      </c>
      <c r="H7" s="12" t="n">
        <v>2976.6</v>
      </c>
      <c r="I7" t="n">
        <v>1</v>
      </c>
    </row>
    <row r="8">
      <c r="A8" t="inlineStr">
        <is>
          <t>INV-2025-014510</t>
        </is>
      </c>
      <c r="B8" t="inlineStr">
        <is>
          <t>INV</t>
        </is>
      </c>
      <c r="C8" t="n">
        <v>20251205</v>
      </c>
      <c r="D8" t="inlineStr">
        <is>
          <t>Oasis Real Estate Solutions</t>
        </is>
      </c>
      <c r="E8" t="inlineStr">
        <is>
          <t>Cloud Compute Bundle - Small</t>
        </is>
      </c>
      <c r="F8" t="n">
        <v>3</v>
      </c>
      <c r="G8" s="11" t="n">
        <v>0.0412</v>
      </c>
      <c r="H8" s="12" t="n">
        <v>5177.52</v>
      </c>
      <c r="I8" t="n">
        <v>1</v>
      </c>
    </row>
    <row r="9">
      <c r="A9" t="inlineStr">
        <is>
          <t>INV-2025-014515</t>
        </is>
      </c>
      <c r="B9" t="inlineStr">
        <is>
          <t>INV</t>
        </is>
      </c>
      <c r="C9" t="n">
        <v>20251205</v>
      </c>
      <c r="D9" t="inlineStr">
        <is>
          <t>Falcon Hospitality Holding</t>
        </is>
      </c>
      <c r="E9" t="inlineStr">
        <is>
          <t>Backup-as-a-Service (1 TB)</t>
        </is>
      </c>
      <c r="F9" t="n">
        <v>1</v>
      </c>
      <c r="G9" s="11" t="n">
        <v>0.0629</v>
      </c>
      <c r="H9" s="12" t="n">
        <v>1124.52</v>
      </c>
      <c r="I9" t="n">
        <v>1</v>
      </c>
    </row>
    <row r="10">
      <c r="A10" t="inlineStr">
        <is>
          <t>INV-2025-014515</t>
        </is>
      </c>
      <c r="B10" t="inlineStr">
        <is>
          <t>INV</t>
        </is>
      </c>
      <c r="C10" t="n">
        <v>20251205</v>
      </c>
      <c r="D10" t="inlineStr">
        <is>
          <t>Falcon Hospitality Holding</t>
        </is>
      </c>
      <c r="E10" t="inlineStr">
        <is>
          <t>Business Fiber 100 Mbps (annual)</t>
        </is>
      </c>
      <c r="F10" t="n">
        <v>1</v>
      </c>
      <c r="G10" s="11" t="n">
        <v>0.0678</v>
      </c>
      <c r="H10" s="12" t="n">
        <v>2237.28</v>
      </c>
      <c r="I10" t="n">
        <v>1</v>
      </c>
    </row>
    <row r="11">
      <c r="A11" t="inlineStr">
        <is>
          <t>INV-2025-014515</t>
        </is>
      </c>
      <c r="B11" t="inlineStr">
        <is>
          <t>INV</t>
        </is>
      </c>
      <c r="C11" t="n">
        <v>20251205</v>
      </c>
      <c r="D11" t="inlineStr">
        <is>
          <t>Falcon Hospitality Holding</t>
        </is>
      </c>
      <c r="E11" t="inlineStr">
        <is>
          <t>Managed Switch 48-port</t>
        </is>
      </c>
      <c r="F11" t="n">
        <v>1</v>
      </c>
      <c r="G11" s="11" t="n">
        <v>0.0302</v>
      </c>
      <c r="H11" s="12" t="n">
        <v>2133.56</v>
      </c>
      <c r="I11" t="n">
        <v>1</v>
      </c>
    </row>
    <row r="12">
      <c r="A12" t="inlineStr">
        <is>
          <t>INV-2025-014505</t>
        </is>
      </c>
      <c r="B12" t="inlineStr">
        <is>
          <t>INV</t>
        </is>
      </c>
      <c r="C12" t="n">
        <v>20251210</v>
      </c>
      <c r="D12" t="inlineStr">
        <is>
          <t>Hejaz Manufacturing Co.</t>
        </is>
      </c>
      <c r="E12" t="inlineStr">
        <is>
          <t>Enterprise Router</t>
        </is>
      </c>
      <c r="F12" t="n">
        <v>3</v>
      </c>
      <c r="G12" s="11" t="n">
        <v>0.0454</v>
      </c>
      <c r="H12" s="12" t="n">
        <v>3150.18</v>
      </c>
      <c r="I12" t="n">
        <v>1</v>
      </c>
    </row>
    <row r="13">
      <c r="A13" t="inlineStr">
        <is>
          <t>INV-2025-014505</t>
        </is>
      </c>
      <c r="B13" t="inlineStr">
        <is>
          <t>INV</t>
        </is>
      </c>
      <c r="C13" t="n">
        <v>20251210</v>
      </c>
      <c r="D13" t="inlineStr">
        <is>
          <t>Hejaz Manufacturing Co.</t>
        </is>
      </c>
      <c r="E13" t="inlineStr">
        <is>
          <t>Business Fiber 100 Mbps (annual)</t>
        </is>
      </c>
      <c r="F13" t="n">
        <v>1</v>
      </c>
      <c r="G13" s="11" t="n">
        <v>0.07240000000000001</v>
      </c>
      <c r="H13" s="12" t="n">
        <v>2226.24</v>
      </c>
      <c r="I13" t="n">
        <v>1</v>
      </c>
    </row>
    <row r="14">
      <c r="A14" t="inlineStr">
        <is>
          <t>INV-2025-014523</t>
        </is>
      </c>
      <c r="B14" t="inlineStr">
        <is>
          <t>INV</t>
        </is>
      </c>
      <c r="C14" t="n">
        <v>20251210</v>
      </c>
      <c r="D14" t="inlineStr">
        <is>
          <t>Dune Construction Co.</t>
        </is>
      </c>
      <c r="E14" t="inlineStr">
        <is>
          <t>Business Fiber 100 Mbps (annual)</t>
        </is>
      </c>
      <c r="F14" t="n">
        <v>1</v>
      </c>
      <c r="G14" s="11" t="n">
        <v>0.0624</v>
      </c>
      <c r="H14" s="12" t="n">
        <v>2250.24</v>
      </c>
      <c r="I14" t="n">
        <v>1</v>
      </c>
    </row>
    <row r="15">
      <c r="A15" t="inlineStr">
        <is>
          <t>INV-2025-014521</t>
        </is>
      </c>
      <c r="B15" t="inlineStr">
        <is>
          <t>INV</t>
        </is>
      </c>
      <c r="C15" t="n">
        <v>20251211</v>
      </c>
      <c r="D15" t="inlineStr">
        <is>
          <t>Asir Healthcare Group</t>
        </is>
      </c>
      <c r="E15" t="inlineStr">
        <is>
          <t>Business Fiber 100 Mbps (annual)</t>
        </is>
      </c>
      <c r="F15" t="n">
        <v>1</v>
      </c>
      <c r="G15" s="11" t="n">
        <v>0.06510000000000001</v>
      </c>
      <c r="H15" s="12" t="n">
        <v>2243.76</v>
      </c>
      <c r="I15" t="n">
        <v>1</v>
      </c>
    </row>
    <row r="16">
      <c r="A16" t="inlineStr">
        <is>
          <t>INV-2025-014521</t>
        </is>
      </c>
      <c r="B16" t="inlineStr">
        <is>
          <t>INV</t>
        </is>
      </c>
      <c r="C16" t="n">
        <v>20251211</v>
      </c>
      <c r="D16" t="inlineStr">
        <is>
          <t>Asir Healthcare Group</t>
        </is>
      </c>
      <c r="E16" t="inlineStr">
        <is>
          <t>Business Fiber 100 Mbps (annual)</t>
        </is>
      </c>
      <c r="F16" t="n">
        <v>1</v>
      </c>
      <c r="G16" s="11" t="n">
        <v>0.0664</v>
      </c>
      <c r="H16" s="12" t="n">
        <v>2240.64</v>
      </c>
      <c r="I16" t="n">
        <v>1</v>
      </c>
    </row>
    <row r="17">
      <c r="A17" t="inlineStr">
        <is>
          <t>INV-2025-014525</t>
        </is>
      </c>
      <c r="B17" t="inlineStr">
        <is>
          <t>INV</t>
        </is>
      </c>
      <c r="C17" t="n">
        <v>20251211</v>
      </c>
      <c r="D17" t="inlineStr">
        <is>
          <t>Dune Education Trading</t>
        </is>
      </c>
      <c r="E17" t="inlineStr">
        <is>
          <t>Cloud Compute Bundle - Small</t>
        </is>
      </c>
      <c r="F17" t="n">
        <v>2</v>
      </c>
      <c r="G17" s="11" t="n">
        <v>0.0493</v>
      </c>
      <c r="H17" s="12" t="n">
        <v>3422.52</v>
      </c>
      <c r="I17" t="n">
        <v>1</v>
      </c>
    </row>
    <row r="18">
      <c r="A18" t="inlineStr">
        <is>
          <t>INV-2025-014507</t>
        </is>
      </c>
      <c r="B18" t="inlineStr">
        <is>
          <t>INV</t>
        </is>
      </c>
      <c r="C18" t="n">
        <v>20251213</v>
      </c>
      <c r="D18" t="inlineStr">
        <is>
          <t>Najd Retail Holding</t>
        </is>
      </c>
      <c r="E18" t="inlineStr">
        <is>
          <t>Business Fiber 100 Mbps (annual)</t>
        </is>
      </c>
      <c r="F18" t="n">
        <v>3</v>
      </c>
      <c r="G18" s="11" t="n">
        <v>0.0541</v>
      </c>
      <c r="H18" s="12" t="n">
        <v>6810.48</v>
      </c>
      <c r="I18" t="n">
        <v>1</v>
      </c>
    </row>
    <row r="19">
      <c r="A19" t="inlineStr">
        <is>
          <t>INV-2025-014509</t>
        </is>
      </c>
      <c r="B19" t="inlineStr">
        <is>
          <t>INV</t>
        </is>
      </c>
      <c r="C19" t="n">
        <v>20251214</v>
      </c>
      <c r="D19" t="inlineStr">
        <is>
          <t>Tuwaiq Media Services</t>
        </is>
      </c>
      <c r="E19" t="inlineStr">
        <is>
          <t>Productivity Suite (10 users, annual)</t>
        </is>
      </c>
      <c r="F19" t="n">
        <v>8</v>
      </c>
      <c r="G19" s="11" t="n">
        <v>0.065</v>
      </c>
      <c r="H19" s="12" t="n">
        <v>11220</v>
      </c>
      <c r="I19" t="n">
        <v>1</v>
      </c>
    </row>
    <row r="20">
      <c r="A20" t="inlineStr">
        <is>
          <t>INV-2025-014518</t>
        </is>
      </c>
      <c r="B20" t="inlineStr">
        <is>
          <t>INV</t>
        </is>
      </c>
      <c r="C20" t="n">
        <v>20251214</v>
      </c>
      <c r="D20" t="inlineStr">
        <is>
          <t>Hejaz Retail Solutions</t>
        </is>
      </c>
      <c r="E20" t="inlineStr">
        <is>
          <t>Managed Switch 48-port</t>
        </is>
      </c>
      <c r="F20" t="n">
        <v>3</v>
      </c>
      <c r="G20" s="11" t="n">
        <v>0.0583</v>
      </c>
      <c r="H20" s="12" t="n">
        <v>6215.22</v>
      </c>
      <c r="I20" t="n">
        <v>1</v>
      </c>
    </row>
    <row r="21">
      <c r="A21" t="inlineStr">
        <is>
          <t>INV-2025-014518</t>
        </is>
      </c>
      <c r="B21" t="inlineStr">
        <is>
          <t>INV</t>
        </is>
      </c>
      <c r="C21" t="n">
        <v>20251214</v>
      </c>
      <c r="D21" t="inlineStr">
        <is>
          <t>Hejaz Retail Solutions</t>
        </is>
      </c>
      <c r="E21" t="inlineStr">
        <is>
          <t>Technical Training (per course)</t>
        </is>
      </c>
      <c r="F21" t="n">
        <v>5</v>
      </c>
      <c r="G21" s="11" t="n">
        <v>0.0552</v>
      </c>
      <c r="H21" s="12" t="n">
        <v>7086</v>
      </c>
      <c r="I21" t="n">
        <v>1</v>
      </c>
    </row>
    <row r="22">
      <c r="A22" t="inlineStr">
        <is>
          <t>INV-2025-014506</t>
        </is>
      </c>
      <c r="B22" t="inlineStr">
        <is>
          <t>INV</t>
        </is>
      </c>
      <c r="C22" t="n">
        <v>20251216</v>
      </c>
      <c r="D22" t="inlineStr">
        <is>
          <t>Asir Financial Services Enterprises</t>
        </is>
      </c>
      <c r="E22" t="inlineStr">
        <is>
          <t>Technical Training (per course)</t>
        </is>
      </c>
      <c r="F22" t="n">
        <v>3</v>
      </c>
      <c r="G22" s="11" t="n">
        <v>0.0711</v>
      </c>
      <c r="H22" s="12" t="n">
        <v>4180.05</v>
      </c>
      <c r="I22" t="n">
        <v>1</v>
      </c>
    </row>
    <row r="23">
      <c r="A23" t="inlineStr">
        <is>
          <t>INV-2025-014527</t>
        </is>
      </c>
      <c r="B23" t="inlineStr">
        <is>
          <t>INV</t>
        </is>
      </c>
      <c r="C23" t="n">
        <v>20251216</v>
      </c>
      <c r="D23" t="inlineStr">
        <is>
          <t>Najd Logistics Services</t>
        </is>
      </c>
      <c r="E23" t="inlineStr">
        <is>
          <t>Endpoint Protection (50 seats)</t>
        </is>
      </c>
      <c r="F23" t="n">
        <v>2</v>
      </c>
      <c r="G23" s="11" t="n">
        <v>0.0573</v>
      </c>
      <c r="H23" s="12" t="n">
        <v>5656.2</v>
      </c>
      <c r="I23" t="n">
        <v>1.25</v>
      </c>
    </row>
    <row r="24">
      <c r="A24" t="inlineStr">
        <is>
          <t>INV-2025-014527</t>
        </is>
      </c>
      <c r="B24" t="inlineStr">
        <is>
          <t>INV</t>
        </is>
      </c>
      <c r="C24" t="n">
        <v>20251216</v>
      </c>
      <c r="D24" t="inlineStr">
        <is>
          <t>Najd Logistics Services</t>
        </is>
      </c>
      <c r="E24" t="inlineStr">
        <is>
          <t>Backup-as-a-Service (1 TB)</t>
        </is>
      </c>
      <c r="F24" t="n">
        <v>4</v>
      </c>
      <c r="G24" s="11" t="n">
        <v>0.0654</v>
      </c>
      <c r="H24" s="12" t="n">
        <v>4486.08</v>
      </c>
      <c r="I24" t="n">
        <v>1</v>
      </c>
    </row>
    <row r="25">
      <c r="A25" t="inlineStr">
        <is>
          <t>INV-2025-014504</t>
        </is>
      </c>
      <c r="B25" t="inlineStr">
        <is>
          <t>INV</t>
        </is>
      </c>
      <c r="C25" t="n">
        <v>20251220</v>
      </c>
      <c r="D25" t="inlineStr">
        <is>
          <t>Hejaz Hospitality Co.</t>
        </is>
      </c>
      <c r="E25" t="inlineStr">
        <is>
          <t>Business Fiber 100 Mbps (annual)</t>
        </is>
      </c>
      <c r="F25" t="n">
        <v>1</v>
      </c>
      <c r="G25" s="11" t="n">
        <v>0.0519</v>
      </c>
      <c r="H25" s="12" t="n">
        <v>2275.44</v>
      </c>
      <c r="I25" t="n">
        <v>1</v>
      </c>
    </row>
    <row r="26">
      <c r="A26" t="inlineStr">
        <is>
          <t>INV-2025-014504</t>
        </is>
      </c>
      <c r="B26" t="inlineStr">
        <is>
          <t>INV</t>
        </is>
      </c>
      <c r="C26" t="n">
        <v>20251220</v>
      </c>
      <c r="D26" t="inlineStr">
        <is>
          <t>Hejaz Hospitality Co.</t>
        </is>
      </c>
      <c r="E26" t="inlineStr">
        <is>
          <t>Business Fiber 100 Mbps (annual)</t>
        </is>
      </c>
      <c r="F26" t="n">
        <v>1</v>
      </c>
      <c r="G26" s="11" t="n">
        <v>0.0675</v>
      </c>
      <c r="H26" s="12" t="n">
        <v>2238</v>
      </c>
      <c r="I26" t="n">
        <v>1</v>
      </c>
    </row>
    <row r="27">
      <c r="A27" t="inlineStr">
        <is>
          <t>INV-2025-014512</t>
        </is>
      </c>
      <c r="B27" t="inlineStr">
        <is>
          <t>INV</t>
        </is>
      </c>
      <c r="C27" t="n">
        <v>20251226</v>
      </c>
      <c r="D27" t="inlineStr">
        <is>
          <t>Hejaz Government Services Enterprises</t>
        </is>
      </c>
      <c r="E27" t="inlineStr">
        <is>
          <t>Cloud Compute Bundle - Small</t>
        </is>
      </c>
      <c r="F27" t="n">
        <v>3</v>
      </c>
      <c r="G27" s="11" t="n">
        <v>0.0596</v>
      </c>
      <c r="H27" s="12" t="n">
        <v>5078.16</v>
      </c>
      <c r="I27" t="n">
        <v>1</v>
      </c>
    </row>
    <row r="28">
      <c r="A28" t="inlineStr">
        <is>
          <t>INV-2025-014513</t>
        </is>
      </c>
      <c r="B28" t="inlineStr">
        <is>
          <t>INV</t>
        </is>
      </c>
      <c r="C28" t="n">
        <v>20251226</v>
      </c>
      <c r="D28" t="inlineStr">
        <is>
          <t>Falcon Real Estate Holding</t>
        </is>
      </c>
      <c r="E28" t="inlineStr">
        <is>
          <t>Backup-as-a-Service (1 TB)</t>
        </is>
      </c>
      <c r="F28" t="n">
        <v>3</v>
      </c>
      <c r="G28" s="11" t="n">
        <v>0.08160000000000001</v>
      </c>
      <c r="H28" s="12" t="n">
        <v>3306.24</v>
      </c>
      <c r="I28" t="n">
        <v>1</v>
      </c>
    </row>
    <row r="29">
      <c r="A29" t="inlineStr">
        <is>
          <t>INV-2025-014508</t>
        </is>
      </c>
      <c r="B29" t="inlineStr">
        <is>
          <t>INV</t>
        </is>
      </c>
      <c r="C29" t="n">
        <v>20251227</v>
      </c>
      <c r="D29" t="inlineStr">
        <is>
          <t>Hejaz Retail Solutions</t>
        </is>
      </c>
      <c r="E29" t="inlineStr">
        <is>
          <t>Business Fiber 100 Mbps (annual)</t>
        </is>
      </c>
      <c r="F29" t="n">
        <v>2</v>
      </c>
      <c r="G29" s="11" t="n">
        <v>0.0769</v>
      </c>
      <c r="H29" s="12" t="n">
        <v>4430.88</v>
      </c>
      <c r="I29" t="n">
        <v>1</v>
      </c>
    </row>
    <row r="30">
      <c r="A30" t="inlineStr">
        <is>
          <t>INV-2025-014524</t>
        </is>
      </c>
      <c r="B30" t="inlineStr">
        <is>
          <t>INV</t>
        </is>
      </c>
      <c r="C30" t="n">
        <v>20251227</v>
      </c>
      <c r="D30" t="inlineStr">
        <is>
          <t>Asir Financial Services Trading</t>
        </is>
      </c>
      <c r="E30" t="inlineStr">
        <is>
          <t>Enterprise Router</t>
        </is>
      </c>
      <c r="F30" t="n">
        <v>2</v>
      </c>
      <c r="G30" s="11" t="n">
        <v>0.0404</v>
      </c>
      <c r="H30" s="12" t="n">
        <v>2111.12</v>
      </c>
      <c r="I30" t="n">
        <v>1</v>
      </c>
    </row>
    <row r="31">
      <c r="A31" t="inlineStr">
        <is>
          <t>INV-2025-014524</t>
        </is>
      </c>
      <c r="B31" t="inlineStr">
        <is>
          <t>INV</t>
        </is>
      </c>
      <c r="C31" t="n">
        <v>20251227</v>
      </c>
      <c r="D31" t="inlineStr">
        <is>
          <t>Asir Financial Services Trading</t>
        </is>
      </c>
      <c r="E31" t="inlineStr">
        <is>
          <t>Business Fiber 100 Mbps (annual)</t>
        </is>
      </c>
      <c r="F31" t="n">
        <v>1</v>
      </c>
      <c r="G31" s="11" t="n">
        <v>0.0964</v>
      </c>
      <c r="H31" s="12" t="n">
        <v>2168.64</v>
      </c>
      <c r="I31" t="n">
        <v>1</v>
      </c>
    </row>
    <row r="32">
      <c r="A32" t="inlineStr">
        <is>
          <t>INV-2025-014524</t>
        </is>
      </c>
      <c r="B32" t="inlineStr">
        <is>
          <t>INV</t>
        </is>
      </c>
      <c r="C32" t="n">
        <v>20251227</v>
      </c>
      <c r="D32" t="inlineStr">
        <is>
          <t>Asir Financial Services Trading</t>
        </is>
      </c>
      <c r="E32" t="inlineStr">
        <is>
          <t>SD-WAN Site License (annual)</t>
        </is>
      </c>
      <c r="F32" t="n">
        <v>1</v>
      </c>
      <c r="G32" s="11" t="n">
        <v>0.0343</v>
      </c>
      <c r="H32" s="12" t="n">
        <v>3476.52</v>
      </c>
      <c r="I32" t="n">
        <v>1</v>
      </c>
    </row>
    <row r="33">
      <c r="A33" t="inlineStr">
        <is>
          <t>INV-2025-014511</t>
        </is>
      </c>
      <c r="B33" t="inlineStr">
        <is>
          <t>INV</t>
        </is>
      </c>
      <c r="C33" t="n">
        <v>20251228</v>
      </c>
      <c r="D33" t="inlineStr">
        <is>
          <t>Hejaz Energy Trading</t>
        </is>
      </c>
      <c r="E33" t="inlineStr">
        <is>
          <t>Business Fiber 100 Mbps (annual)</t>
        </is>
      </c>
      <c r="F33" t="n">
        <v>3</v>
      </c>
      <c r="G33" s="11" t="n">
        <v>0.0336</v>
      </c>
      <c r="H33" s="12" t="n">
        <v>6958.08</v>
      </c>
      <c r="I33" t="n">
        <v>1</v>
      </c>
    </row>
    <row r="34">
      <c r="A34" t="inlineStr">
        <is>
          <t>INV-2025-014514</t>
        </is>
      </c>
      <c r="B34" t="inlineStr">
        <is>
          <t>INV</t>
        </is>
      </c>
      <c r="C34" t="n">
        <v>20251229</v>
      </c>
      <c r="D34" t="inlineStr">
        <is>
          <t>Dune Manufacturing Co.</t>
        </is>
      </c>
      <c r="E34" t="inlineStr">
        <is>
          <t>Enterprise Router</t>
        </is>
      </c>
      <c r="F34" t="n">
        <v>4</v>
      </c>
      <c r="G34" s="11" t="n">
        <v>0.0477</v>
      </c>
      <c r="H34" s="12" t="n">
        <v>4190.12</v>
      </c>
      <c r="I34" t="n">
        <v>1</v>
      </c>
    </row>
    <row r="35">
      <c r="A35" t="inlineStr">
        <is>
          <t>INV-2025-014516</t>
        </is>
      </c>
      <c r="B35" t="inlineStr">
        <is>
          <t>INV</t>
        </is>
      </c>
      <c r="C35" t="n">
        <v>20251229</v>
      </c>
      <c r="D35" t="inlineStr">
        <is>
          <t>Dune Healthcare Partners</t>
        </is>
      </c>
      <c r="E35" t="inlineStr">
        <is>
          <t>Business Fiber 100 Mbps (annual)</t>
        </is>
      </c>
      <c r="F35" t="n">
        <v>1</v>
      </c>
      <c r="G35" s="11" t="n">
        <v>0.0837</v>
      </c>
      <c r="H35" s="12" t="n">
        <v>2199.12</v>
      </c>
      <c r="I35" t="n">
        <v>1</v>
      </c>
    </row>
    <row r="36">
      <c r="A36" t="inlineStr">
        <is>
          <t>INV-2025-014516</t>
        </is>
      </c>
      <c r="B36" t="inlineStr">
        <is>
          <t>INV</t>
        </is>
      </c>
      <c r="C36" t="n">
        <v>20251229</v>
      </c>
      <c r="D36" t="inlineStr">
        <is>
          <t>Dune Healthcare Partners</t>
        </is>
      </c>
      <c r="E36" t="inlineStr">
        <is>
          <t>Wi-Fi 6 Access Point</t>
        </is>
      </c>
      <c r="F36" t="n">
        <v>4</v>
      </c>
      <c r="G36" s="11" t="n">
        <v>0.0437</v>
      </c>
      <c r="H36" s="12" t="n">
        <v>1721.34</v>
      </c>
      <c r="I36" t="n">
        <v>1</v>
      </c>
    </row>
    <row r="37">
      <c r="A37" t="inlineStr">
        <is>
          <t>INV-2025-014517</t>
        </is>
      </c>
      <c r="B37" t="inlineStr">
        <is>
          <t>INV</t>
        </is>
      </c>
      <c r="C37" t="n">
        <v>20251231</v>
      </c>
      <c r="D37" t="inlineStr">
        <is>
          <t>Oasis Hospitality Co.</t>
        </is>
      </c>
      <c r="E37" t="inlineStr">
        <is>
          <t>Endpoint Protection (50 seats)</t>
        </is>
      </c>
      <c r="F37" t="n">
        <v>1</v>
      </c>
      <c r="G37" s="11" t="n">
        <v>0.06320000000000001</v>
      </c>
      <c r="H37" s="12" t="n">
        <v>2810.4</v>
      </c>
      <c r="I37" t="n">
        <v>1.25</v>
      </c>
    </row>
    <row r="38">
      <c r="A38" t="inlineStr">
        <is>
          <t>INV-2025-014519</t>
        </is>
      </c>
      <c r="B38" t="inlineStr">
        <is>
          <t>INV</t>
        </is>
      </c>
      <c r="C38" t="n">
        <v>20251231</v>
      </c>
      <c r="D38" t="inlineStr">
        <is>
          <t>Qassim Financial Services Partners</t>
        </is>
      </c>
      <c r="E38" t="inlineStr">
        <is>
          <t>Backup-as-a-Service (1 TB)</t>
        </is>
      </c>
      <c r="F38" t="n">
        <v>2</v>
      </c>
      <c r="G38" s="11" t="n">
        <v>0.09089999999999999</v>
      </c>
      <c r="H38" s="12" t="n">
        <v>2181.84</v>
      </c>
      <c r="I38" t="n">
        <v>1</v>
      </c>
    </row>
    <row r="39">
      <c r="A39" t="inlineStr">
        <is>
          <t>INV-2025-014519</t>
        </is>
      </c>
      <c r="B39" t="inlineStr">
        <is>
          <t>INV</t>
        </is>
      </c>
      <c r="C39" t="n">
        <v>20251231</v>
      </c>
      <c r="D39" t="inlineStr">
        <is>
          <t>Qassim Financial Services Partners</t>
        </is>
      </c>
      <c r="E39" t="inlineStr">
        <is>
          <t>Business Fiber 100 Mbps (annual)</t>
        </is>
      </c>
      <c r="F39" t="n">
        <v>1</v>
      </c>
      <c r="G39" s="11" t="n">
        <v>0.0916</v>
      </c>
      <c r="H39" s="12" t="n">
        <v>2180.16</v>
      </c>
      <c r="I39" t="n">
        <v>1</v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2026-09-25T21:22:25Z</dcterms:created>
  <dcterms:modified xmlns:dcterms="http://purl.org/dc/terms/" xmlns:xsi="http://www.w3.org/2001/XMLSchema-instance" xsi:type="dcterms:W3CDTF">2026-09-25T21:22:25Z</dcterms:modified>
</cp:coreProperties>
</file>